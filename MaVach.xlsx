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5A00001315\Downloads\"/>
    </mc:Choice>
  </mc:AlternateContent>
  <xr:revisionPtr revIDLastSave="0" documentId="13_ncr:1_{631FFBEE-4EB6-445E-9B86-AECEC6B0B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K D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F59" i="2" l="1"/>
</calcChain>
</file>

<file path=xl/sharedStrings.xml><?xml version="1.0" encoding="utf-8"?>
<sst xmlns="http://schemas.openxmlformats.org/spreadsheetml/2006/main" count="219" uniqueCount="123">
  <si>
    <t>Stt</t>
  </si>
  <si>
    <t>Mã số</t>
  </si>
  <si>
    <t>Tên tài sản</t>
  </si>
  <si>
    <t>Đvt</t>
  </si>
  <si>
    <t>Bộ phận</t>
  </si>
  <si>
    <t>Số lượng</t>
  </si>
  <si>
    <t>PTC</t>
  </si>
  <si>
    <t>Cái</t>
  </si>
  <si>
    <t>KHOPM</t>
  </si>
  <si>
    <t>O5A211200001</t>
  </si>
  <si>
    <t>Hệ thống Phòng cháy chữa cháy và chống sét</t>
  </si>
  <si>
    <t>HT</t>
  </si>
  <si>
    <t>O5A211200002</t>
  </si>
  <si>
    <t>Hệ thống xử lý nước thải sinh hoạt</t>
  </si>
  <si>
    <t>Bộ</t>
  </si>
  <si>
    <t>O5A211200024</t>
  </si>
  <si>
    <t>Máy khoan Doya</t>
  </si>
  <si>
    <t>O5A211200026</t>
  </si>
  <si>
    <t>Máy mài kim loại Nagase</t>
  </si>
  <si>
    <t>O5A211200028</t>
  </si>
  <si>
    <t>Máy phay makino</t>
  </si>
  <si>
    <t>O5A211200029</t>
  </si>
  <si>
    <t>Máy tiện kim loại điều khiển số, công suất 10Kw</t>
  </si>
  <si>
    <t>O5A211200036</t>
  </si>
  <si>
    <t>Máy tiện kim loại điều khiển số đã qua sử dụng, Model  APOC 600x2500, No 67108</t>
  </si>
  <si>
    <t>O5A211200037</t>
  </si>
  <si>
    <t>Đế máy mài phẳng 500x1600</t>
  </si>
  <si>
    <t>O5A211200040</t>
  </si>
  <si>
    <t>Bồn sắt chứa dầu 15m3</t>
  </si>
  <si>
    <t>O5A211300001</t>
  </si>
  <si>
    <t>Hệ thống thang máy văn phòng</t>
  </si>
  <si>
    <t>O5A211300002</t>
  </si>
  <si>
    <t>Hệ thống thoát nước, đường dây điện tạm nhà văn phòng, nhà ăn</t>
  </si>
  <si>
    <t>O5A211300003</t>
  </si>
  <si>
    <t>Hệ thống truyền dẫn và tổng đài điện thoại</t>
  </si>
  <si>
    <t>O5A211300004</t>
  </si>
  <si>
    <t>Rơ moóc 40 feet chở container rỗng, mã hiệu YSC 556, số khung 556SC001</t>
  </si>
  <si>
    <t>Chiếc</t>
  </si>
  <si>
    <t>O5A211300005</t>
  </si>
  <si>
    <t>Rơ moóc 40 feet chở container rỗng, mã hiệu YSC 556, số khung 556SC002</t>
  </si>
  <si>
    <t>O5A211300006</t>
  </si>
  <si>
    <t>Xe đầu kéo hiệu Heli, model QYD120-J1LI, số khung 22120YC2110, số máy 81240180</t>
  </si>
  <si>
    <t>O5A211300007</t>
  </si>
  <si>
    <t>Xe đầu kéo hiệu Heli, model QYD120-J1LI, số khung 22120YC2111, số máy 81240171</t>
  </si>
  <si>
    <t>O5A211300008</t>
  </si>
  <si>
    <t>Xe ô tô 07 chỗ, hiệu KIA, số loại CARNIVAL KA4 PE 2.2 AT FS7, màu trắng, SK RNYNJ5BA8SC357808, SM D4HERH658579, biển số 72B - 088.62</t>
  </si>
  <si>
    <t>O5A211300009</t>
  </si>
  <si>
    <t>Càng trụ xe nâng 25T</t>
  </si>
  <si>
    <t>O5A211300010</t>
  </si>
  <si>
    <t>Xe chở người bốn bánh LVTONG, Số loại: LT-A627.4+2, SK: LTA0176482, SM: 230700922</t>
  </si>
  <si>
    <t>O5A211300011</t>
  </si>
  <si>
    <t>Xe điện thùng kín LVTONG, Số loại: LT-A627.4+2, SK: LTA0176673, SM: 230802615</t>
  </si>
  <si>
    <t>O5A211300012</t>
  </si>
  <si>
    <t>Xe ba bánh điện tải trọng 500kg</t>
  </si>
  <si>
    <t>O5A211300013</t>
  </si>
  <si>
    <t>Xe nâng hàng Diesel 25T - Nhật Bản Model: FD250-7, Seri M269-3670, Seri động cơ: 6D107-26752421</t>
  </si>
  <si>
    <t>O5A211300014</t>
  </si>
  <si>
    <t>Xe nâng hàng Diesel 3T - Nhật Bản Model: FD30-17, Seri M229-362705, Seri động cơ: 4D94LE-85077</t>
  </si>
  <si>
    <t>O5A211300015</t>
  </si>
  <si>
    <t>Xe nâng hàng Diesel 3T - Nhật Bản Model: FD30-17, Seri M229-362715, Seri động cơ: 4D94LE-85086</t>
  </si>
  <si>
    <t>O5A211300016</t>
  </si>
  <si>
    <t>Xe nâng hàng Diesel 3T - Nhật Bản Model: FD30-17, Seri M229-362714, Seri động cơ: 4D94LE-85085</t>
  </si>
  <si>
    <t>O5A211300017</t>
  </si>
  <si>
    <t>Xe nâng hàng Diesel 5T - Nhật Bản Model: FD50AYT-10, Seri M252-140146, Seri động cơ: S4D95LE-3-152912</t>
  </si>
  <si>
    <t>O5A211300018</t>
  </si>
  <si>
    <t>Xe nâng hàng Diesel 5T - Nhật Bản Model: FD50AYT-10, Seri M252-140145, Seri động cơ: S4D95LE-3-152904</t>
  </si>
  <si>
    <t>O5A211300021</t>
  </si>
  <si>
    <t>Xe nâng hàng Diesel 5T - Nhật Bản Model: FD50AYT-10, Seri M252-140139, Seri động cơ: 4D95L-152911</t>
  </si>
  <si>
    <t>O5A211300022</t>
  </si>
  <si>
    <t>Xe nâng công đơn rỗng 20ft &amp; 40ft, Model: HYSTER H8XD-EC7, Serial No: F214E01640W</t>
  </si>
  <si>
    <t>O5A211300023</t>
  </si>
  <si>
    <t>Xe nâng công đơn rỗng 20ft &amp; 40ft, Model: HYSTER H8XD-EC7, Serial No: F214E01620W</t>
  </si>
  <si>
    <t>O5A211300024</t>
  </si>
  <si>
    <t>Xe nâng gắp cont đơn rỗng 20ft &amp; 40ft, Model: HYSTER H6XD-EC3, Serial No: N019E02143W</t>
  </si>
  <si>
    <t>O5A211300025</t>
  </si>
  <si>
    <t>Xe Ranger Wildtrak 2.0AT Bi-turbo (Vàng Saber) 72C-196.58</t>
  </si>
  <si>
    <t>O5A211400001</t>
  </si>
  <si>
    <t>Hệ thống camera giám sát</t>
  </si>
  <si>
    <t>O5A211400002</t>
  </si>
  <si>
    <t>Hệ thống phòng sever</t>
  </si>
  <si>
    <t>O5A211400003</t>
  </si>
  <si>
    <t>Hệ thống thiết bị bếp căn tin 1&amp;2</t>
  </si>
  <si>
    <t>O5A211400004</t>
  </si>
  <si>
    <t>Máy tính chủ Dell PowerEdge R750xs cho HT Access Control và PM Bravo</t>
  </si>
  <si>
    <t>O5A211400005</t>
  </si>
  <si>
    <t>Tủ điện nguồn PCCC</t>
  </si>
  <si>
    <t>Tủ</t>
  </si>
  <si>
    <t>O5A211400006</t>
  </si>
  <si>
    <t>Hệ thống điều hoà văn phòng</t>
  </si>
  <si>
    <t>O5A211400007</t>
  </si>
  <si>
    <t>Thiết bị nội thất văn phòng</t>
  </si>
  <si>
    <t>O5A211400008</t>
  </si>
  <si>
    <t>Màn hình Led Q2 Indoor Qiangli (Kích thước: 1.600 x 2.880 mm)</t>
  </si>
  <si>
    <t>O5A211400009</t>
  </si>
  <si>
    <t>Laptop Dell Workstation Mobile Precision 5560 (01MTXT556011850H.02) vPro (i7 11850H/32GB RAM/512GB SSD/RTX A2000 4G/15.6 inch FHD 100%RGB/Ubuntu/1TB HDD)</t>
  </si>
  <si>
    <t>Máy</t>
  </si>
  <si>
    <t>O5A211400010</t>
  </si>
  <si>
    <t>Máy tính bộ Dell i7-10700/16GB DDR4 2933MHz/ SSD 2TB/GTX 1660-6G/Wireless-n/Bluetooth-4/K&amp;M/Win 10Pro/Office 2019</t>
  </si>
  <si>
    <t>O5A211400011</t>
  </si>
  <si>
    <t>Bộ ghế sofa SF01 màu DA03</t>
  </si>
  <si>
    <t>O5A211400012</t>
  </si>
  <si>
    <t>Tủ trưng bày phòng họp lớn F62 màu gỗ ML 2405</t>
  </si>
  <si>
    <t>O5A211400013</t>
  </si>
  <si>
    <t>Tủ tài liệu, kích thước: 7590 x 400 x 2890, phối màu ML9006D9 + ML2401HS</t>
  </si>
  <si>
    <t>Tổng cộng:</t>
  </si>
  <si>
    <t>Hệ thống SCADA</t>
  </si>
  <si>
    <t>Máy phát điện hiệu Cummins Powered, model C275D5</t>
  </si>
  <si>
    <t>MÁY BIẾN ÁP ECOTRANS 3P 3200kVA 22/0.4kV- Dyn11; TC: 2608/QĐ-EVN SPC (NSX: THIBIDI)</t>
  </si>
  <si>
    <t>Đường dây trung thế 3 pha 22kV và Trạm biến áp 5x3.200kVA</t>
  </si>
  <si>
    <t>Hệ thống tủ điện hạ thế, cáp điện và thang máng cáp</t>
  </si>
  <si>
    <t>Hệ thống Access Control</t>
  </si>
  <si>
    <t>Đường dây trung thế 3 pha 22kV và Trạm biến áp 560kVA</t>
  </si>
  <si>
    <t>Hệ thống Phòng cháy chữa cháy phần bổ sung</t>
  </si>
  <si>
    <t>Hệ thống</t>
  </si>
  <si>
    <t>O5A211200101</t>
  </si>
  <si>
    <t>O5A211200102</t>
  </si>
  <si>
    <t>O5A211200116</t>
  </si>
  <si>
    <t>O5A211200122</t>
  </si>
  <si>
    <t>O5A211200129</t>
  </si>
  <si>
    <t>O5A211200158</t>
  </si>
  <si>
    <t>O5A211200186</t>
  </si>
  <si>
    <t>O5A211400014</t>
  </si>
  <si>
    <t>X.CĐ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</si>
</sst>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A0A0A0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left" vertical="center" wrapText="1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vertical="center"/>
    </xf>
    <xf numFmtId="3" fontId="3" fillId="0" borderId="9" xfId="0" applyNumberFormat="1" applyFont="1" applyFill="1" applyBorder="1" applyAlignment="1" applyProtection="1">
      <alignment horizontal="center" vertical="center"/>
    </xf>
    <xf numFmtId="3" fontId="2" fillId="4" borderId="10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>
      <alignment vertical="center"/>
    </xf>
    <xf numFmtId="0" fontId="3" fillId="2" borderId="2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3" borderId="8" xfId="0" applyNumberFormat="1" applyFont="1" applyFill="1" applyBorder="1" applyAlignment="1" applyProtection="1">
      <alignment horizontal="center" vertical="center" wrapText="1"/>
    </xf>
    <xf numFmtId="0" fontId="2" fillId="4" borderId="7" xfId="0" applyNumberFormat="1" applyFont="1" applyFill="1" applyBorder="1" applyAlignment="1" applyProtection="1">
      <alignment horizontal="center" vertical="center"/>
    </xf>
    <xf numFmtId="0" fontId="2" fillId="4" borderId="5" xfId="0" applyNumberFormat="1" applyFont="1" applyFill="1" applyBorder="1" applyAlignment="1" applyProtection="1">
      <alignment horizontal="center" vertical="center"/>
    </xf>
    <xf numFmtId="0" fontId="2" fillId="4" borderId="5" xfId="0" applyNumberFormat="1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8" xfId="1" xr:uid="{52C4C0B6-7913-43B8-B11C-ACB32A1BB2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4762500" cy="314325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525" y="9525"/>
          <a:ext cx="4762500" cy="31432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9525" tIns="9525" rIns="9525" bIns="9525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SẢN XUẤT CONTAINER HÒA PHÁT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Lô B5, đường D9, KCN Phú Mỹ II mở rộng, P.Tân Phước, TP.Hồ Chí Minh, Việt Nam</a:t>
          </a:r>
        </a:p>
      </xdr:txBody>
    </xdr:sp>
    <xdr:clientData/>
  </xdr:oneCellAnchor>
  <xdr:oneCellAnchor>
    <xdr:from>
      <xdr:col>0</xdr:col>
      <xdr:colOff>9525</xdr:colOff>
      <xdr:row>1</xdr:row>
      <xdr:rowOff>9525</xdr:rowOff>
    </xdr:from>
    <xdr:ext cx="6229350" cy="247650"/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525" y="323850"/>
          <a:ext cx="6229350" cy="2476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ctr" anchorCtr="1"/>
        <a:lstStyle/>
        <a:p>
          <a:pPr algn="ctr">
            <a:def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BẢNG TỔNG HỢP TÀI SẢN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62"/>
  <sheetViews>
    <sheetView showGridLines="0" showZeros="0" tabSelected="1" workbookViewId="0">
      <selection activeCell="I10" sqref="I10"/>
    </sheetView>
  </sheetViews>
  <sheetFormatPr defaultRowHeight="15" x14ac:dyDescent="0.25"/>
  <cols>
    <col min="1" max="1" width="5.140625" style="9"/>
    <col min="2" max="2" width="12.85546875" style="9"/>
    <col min="3" max="3" width="46.42578125" style="9" customWidth="1"/>
    <col min="4" max="4" width="8" style="9"/>
    <col min="5" max="5" width="12.85546875" style="9"/>
    <col min="6" max="6" width="8.140625" style="6" bestFit="1" customWidth="1"/>
    <col min="7" max="16384" width="9.140625" style="9"/>
  </cols>
  <sheetData>
    <row r="1" spans="1:6" ht="24.75" customHeight="1" x14ac:dyDescent="0.25">
      <c r="A1" s="1"/>
    </row>
    <row r="2" spans="1:6" ht="19.5" customHeight="1" x14ac:dyDescent="0.25">
      <c r="A2" s="2"/>
    </row>
    <row r="3" spans="1:6" ht="15.75" customHeight="1" x14ac:dyDescent="0.25">
      <c r="A3" s="3"/>
    </row>
    <row r="4" spans="1:6" ht="7.5" customHeight="1" x14ac:dyDescent="0.25">
      <c r="A4" s="10"/>
    </row>
    <row r="5" spans="1:6" ht="18.75" customHeight="1" x14ac:dyDescent="0.25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17" t="s">
        <v>5</v>
      </c>
    </row>
    <row r="6" spans="1:6" x14ac:dyDescent="0.25">
      <c r="A6" s="11">
        <v>1</v>
      </c>
      <c r="B6" s="12" t="s">
        <v>98</v>
      </c>
      <c r="C6" s="13" t="s">
        <v>99</v>
      </c>
      <c r="D6" s="12" t="s">
        <v>37</v>
      </c>
      <c r="E6" s="12" t="s">
        <v>6</v>
      </c>
      <c r="F6" s="7">
        <v>1</v>
      </c>
    </row>
    <row r="7" spans="1:6" x14ac:dyDescent="0.25">
      <c r="A7" s="11">
        <f>A6+1</f>
        <v>2</v>
      </c>
      <c r="B7" s="12" t="s">
        <v>27</v>
      </c>
      <c r="C7" s="13" t="s">
        <v>28</v>
      </c>
      <c r="D7" s="12" t="s">
        <v>7</v>
      </c>
      <c r="E7" s="12" t="s">
        <v>8</v>
      </c>
      <c r="F7" s="7">
        <v>1</v>
      </c>
    </row>
    <row r="8" spans="1:6" x14ac:dyDescent="0.25">
      <c r="A8" s="11">
        <f t="shared" ref="A8:A58" si="0">A7+1</f>
        <v>3</v>
      </c>
      <c r="B8" s="12" t="s">
        <v>46</v>
      </c>
      <c r="C8" s="13" t="s">
        <v>47</v>
      </c>
      <c r="D8" s="12" t="s">
        <v>7</v>
      </c>
      <c r="E8" s="12" t="s">
        <v>8</v>
      </c>
      <c r="F8" s="7">
        <v>1</v>
      </c>
    </row>
    <row r="9" spans="1:6" x14ac:dyDescent="0.25">
      <c r="A9" s="11">
        <f t="shared" si="0"/>
        <v>4</v>
      </c>
      <c r="B9" s="12" t="s">
        <v>25</v>
      </c>
      <c r="C9" s="13" t="s">
        <v>26</v>
      </c>
      <c r="D9" s="12" t="s">
        <v>14</v>
      </c>
      <c r="E9" s="12" t="s">
        <v>122</v>
      </c>
      <c r="F9" s="7">
        <v>1</v>
      </c>
    </row>
    <row r="10" spans="1:6" x14ac:dyDescent="0.25">
      <c r="A10" s="11">
        <f t="shared" si="0"/>
        <v>5</v>
      </c>
      <c r="B10" s="12" t="s">
        <v>114</v>
      </c>
      <c r="C10" s="13" t="s">
        <v>111</v>
      </c>
      <c r="D10" s="12" t="s">
        <v>113</v>
      </c>
      <c r="E10" s="12" t="s">
        <v>122</v>
      </c>
      <c r="F10" s="7">
        <v>1</v>
      </c>
    </row>
    <row r="11" spans="1:6" ht="25.5" x14ac:dyDescent="0.25">
      <c r="A11" s="11">
        <f t="shared" si="0"/>
        <v>6</v>
      </c>
      <c r="B11" s="12" t="s">
        <v>115</v>
      </c>
      <c r="C11" s="13" t="s">
        <v>108</v>
      </c>
      <c r="D11" s="12" t="s">
        <v>113</v>
      </c>
      <c r="E11" s="12" t="s">
        <v>122</v>
      </c>
      <c r="F11" s="7">
        <v>1</v>
      </c>
    </row>
    <row r="12" spans="1:6" x14ac:dyDescent="0.25">
      <c r="A12" s="11">
        <f t="shared" si="0"/>
        <v>7</v>
      </c>
      <c r="B12" s="12" t="s">
        <v>121</v>
      </c>
      <c r="C12" s="13" t="s">
        <v>110</v>
      </c>
      <c r="D12" s="12" t="s">
        <v>113</v>
      </c>
      <c r="E12" s="12" t="s">
        <v>6</v>
      </c>
      <c r="F12" s="7">
        <v>1</v>
      </c>
    </row>
    <row r="13" spans="1:6" x14ac:dyDescent="0.25">
      <c r="A13" s="11">
        <f t="shared" si="0"/>
        <v>8</v>
      </c>
      <c r="B13" s="12" t="s">
        <v>76</v>
      </c>
      <c r="C13" s="13" t="s">
        <v>77</v>
      </c>
      <c r="D13" s="12" t="s">
        <v>11</v>
      </c>
      <c r="E13" s="12" t="s">
        <v>6</v>
      </c>
      <c r="F13" s="7">
        <v>1</v>
      </c>
    </row>
    <row r="14" spans="1:6" x14ac:dyDescent="0.25">
      <c r="A14" s="11">
        <f t="shared" si="0"/>
        <v>9</v>
      </c>
      <c r="B14" s="12" t="s">
        <v>87</v>
      </c>
      <c r="C14" s="13" t="s">
        <v>88</v>
      </c>
      <c r="D14" s="12" t="s">
        <v>11</v>
      </c>
      <c r="E14" s="12" t="s">
        <v>6</v>
      </c>
      <c r="F14" s="7">
        <v>1</v>
      </c>
    </row>
    <row r="15" spans="1:6" x14ac:dyDescent="0.25">
      <c r="A15" s="11">
        <f t="shared" si="0"/>
        <v>10</v>
      </c>
      <c r="B15" s="12" t="s">
        <v>116</v>
      </c>
      <c r="C15" s="13" t="s">
        <v>112</v>
      </c>
      <c r="D15" s="12" t="s">
        <v>113</v>
      </c>
      <c r="E15" s="12" t="s">
        <v>6</v>
      </c>
      <c r="F15" s="7">
        <v>1</v>
      </c>
    </row>
    <row r="16" spans="1:6" x14ac:dyDescent="0.25">
      <c r="A16" s="11">
        <f t="shared" si="0"/>
        <v>11</v>
      </c>
      <c r="B16" s="12" t="s">
        <v>9</v>
      </c>
      <c r="C16" s="13" t="s">
        <v>10</v>
      </c>
      <c r="D16" s="12" t="s">
        <v>11</v>
      </c>
      <c r="E16" s="12" t="s">
        <v>6</v>
      </c>
      <c r="F16" s="7">
        <v>1</v>
      </c>
    </row>
    <row r="17" spans="1:6" x14ac:dyDescent="0.25">
      <c r="A17" s="11">
        <f t="shared" si="0"/>
        <v>12</v>
      </c>
      <c r="B17" s="12" t="s">
        <v>78</v>
      </c>
      <c r="C17" s="13" t="s">
        <v>79</v>
      </c>
      <c r="D17" s="12" t="s">
        <v>11</v>
      </c>
      <c r="E17" s="12" t="s">
        <v>6</v>
      </c>
      <c r="F17" s="7">
        <v>1</v>
      </c>
    </row>
    <row r="18" spans="1:6" x14ac:dyDescent="0.25">
      <c r="A18" s="11">
        <f t="shared" si="0"/>
        <v>13</v>
      </c>
      <c r="B18" s="12" t="s">
        <v>117</v>
      </c>
      <c r="C18" s="13" t="s">
        <v>105</v>
      </c>
      <c r="D18" s="12" t="s">
        <v>113</v>
      </c>
      <c r="E18" s="12" t="s">
        <v>122</v>
      </c>
      <c r="F18" s="7">
        <v>1</v>
      </c>
    </row>
    <row r="19" spans="1:6" x14ac:dyDescent="0.25">
      <c r="A19" s="11">
        <f t="shared" si="0"/>
        <v>14</v>
      </c>
      <c r="B19" s="12" t="s">
        <v>29</v>
      </c>
      <c r="C19" s="13" t="s">
        <v>30</v>
      </c>
      <c r="D19" s="12" t="s">
        <v>11</v>
      </c>
      <c r="E19" s="12" t="s">
        <v>6</v>
      </c>
      <c r="F19" s="7">
        <v>1</v>
      </c>
    </row>
    <row r="20" spans="1:6" x14ac:dyDescent="0.25">
      <c r="A20" s="11">
        <f t="shared" si="0"/>
        <v>15</v>
      </c>
      <c r="B20" s="12" t="s">
        <v>80</v>
      </c>
      <c r="C20" s="13" t="s">
        <v>81</v>
      </c>
      <c r="D20" s="12" t="s">
        <v>11</v>
      </c>
      <c r="E20" s="12" t="s">
        <v>6</v>
      </c>
      <c r="F20" s="7">
        <v>1</v>
      </c>
    </row>
    <row r="21" spans="1:6" ht="25.5" x14ac:dyDescent="0.25">
      <c r="A21" s="11">
        <f t="shared" si="0"/>
        <v>16</v>
      </c>
      <c r="B21" s="12" t="s">
        <v>31</v>
      </c>
      <c r="C21" s="13" t="s">
        <v>32</v>
      </c>
      <c r="D21" s="12" t="s">
        <v>11</v>
      </c>
      <c r="E21" s="12" t="s">
        <v>6</v>
      </c>
      <c r="F21" s="7">
        <v>1</v>
      </c>
    </row>
    <row r="22" spans="1:6" x14ac:dyDescent="0.25">
      <c r="A22" s="11">
        <f t="shared" si="0"/>
        <v>17</v>
      </c>
      <c r="B22" s="12" t="s">
        <v>33</v>
      </c>
      <c r="C22" s="13" t="s">
        <v>34</v>
      </c>
      <c r="D22" s="12" t="s">
        <v>11</v>
      </c>
      <c r="E22" s="12" t="s">
        <v>6</v>
      </c>
      <c r="F22" s="7">
        <v>1</v>
      </c>
    </row>
    <row r="23" spans="1:6" x14ac:dyDescent="0.25">
      <c r="A23" s="11">
        <f t="shared" si="0"/>
        <v>18</v>
      </c>
      <c r="B23" s="12" t="s">
        <v>118</v>
      </c>
      <c r="C23" s="13" t="s">
        <v>109</v>
      </c>
      <c r="D23" s="12" t="s">
        <v>113</v>
      </c>
      <c r="E23" s="12" t="s">
        <v>122</v>
      </c>
      <c r="F23" s="7">
        <v>1</v>
      </c>
    </row>
    <row r="24" spans="1:6" x14ac:dyDescent="0.25">
      <c r="A24" s="11">
        <f t="shared" si="0"/>
        <v>19</v>
      </c>
      <c r="B24" s="12" t="s">
        <v>12</v>
      </c>
      <c r="C24" s="13" t="s">
        <v>13</v>
      </c>
      <c r="D24" s="12" t="s">
        <v>11</v>
      </c>
      <c r="E24" s="12" t="s">
        <v>6</v>
      </c>
      <c r="F24" s="7">
        <v>1</v>
      </c>
    </row>
    <row r="25" spans="1:6" ht="51" x14ac:dyDescent="0.25">
      <c r="A25" s="11">
        <f t="shared" si="0"/>
        <v>20</v>
      </c>
      <c r="B25" s="12" t="s">
        <v>93</v>
      </c>
      <c r="C25" s="13" t="s">
        <v>94</v>
      </c>
      <c r="D25" s="12" t="s">
        <v>95</v>
      </c>
      <c r="E25" s="12" t="s">
        <v>122</v>
      </c>
      <c r="F25" s="7">
        <v>1</v>
      </c>
    </row>
    <row r="26" spans="1:6" ht="25.5" x14ac:dyDescent="0.25">
      <c r="A26" s="11">
        <f t="shared" si="0"/>
        <v>21</v>
      </c>
      <c r="B26" s="12" t="s">
        <v>91</v>
      </c>
      <c r="C26" s="13" t="s">
        <v>92</v>
      </c>
      <c r="D26" s="12" t="s">
        <v>14</v>
      </c>
      <c r="E26" s="12" t="s">
        <v>6</v>
      </c>
      <c r="F26" s="7">
        <v>1</v>
      </c>
    </row>
    <row r="27" spans="1:6" ht="25.5" x14ac:dyDescent="0.25">
      <c r="A27" s="11">
        <f t="shared" si="0"/>
        <v>22</v>
      </c>
      <c r="B27" s="12" t="s">
        <v>119</v>
      </c>
      <c r="C27" s="13" t="s">
        <v>107</v>
      </c>
      <c r="D27" s="12" t="s">
        <v>95</v>
      </c>
      <c r="E27" s="12" t="s">
        <v>122</v>
      </c>
      <c r="F27" s="7">
        <v>5</v>
      </c>
    </row>
    <row r="28" spans="1:6" x14ac:dyDescent="0.25">
      <c r="A28" s="11">
        <f t="shared" si="0"/>
        <v>23</v>
      </c>
      <c r="B28" s="12" t="s">
        <v>15</v>
      </c>
      <c r="C28" s="13" t="s">
        <v>16</v>
      </c>
      <c r="D28" s="12" t="s">
        <v>7</v>
      </c>
      <c r="E28" s="12" t="s">
        <v>122</v>
      </c>
      <c r="F28" s="7">
        <v>1</v>
      </c>
    </row>
    <row r="29" spans="1:6" x14ac:dyDescent="0.25">
      <c r="A29" s="11">
        <f t="shared" si="0"/>
        <v>24</v>
      </c>
      <c r="B29" s="12" t="s">
        <v>17</v>
      </c>
      <c r="C29" s="13" t="s">
        <v>18</v>
      </c>
      <c r="D29" s="12" t="s">
        <v>7</v>
      </c>
      <c r="E29" s="12" t="s">
        <v>122</v>
      </c>
      <c r="F29" s="7">
        <v>1</v>
      </c>
    </row>
    <row r="30" spans="1:6" x14ac:dyDescent="0.25">
      <c r="A30" s="11">
        <f t="shared" si="0"/>
        <v>25</v>
      </c>
      <c r="B30" s="12" t="s">
        <v>120</v>
      </c>
      <c r="C30" s="13" t="s">
        <v>106</v>
      </c>
      <c r="D30" s="12" t="s">
        <v>95</v>
      </c>
      <c r="E30" s="12" t="s">
        <v>122</v>
      </c>
      <c r="F30" s="7">
        <v>1</v>
      </c>
    </row>
    <row r="31" spans="1:6" x14ac:dyDescent="0.25">
      <c r="A31" s="11">
        <f t="shared" si="0"/>
        <v>26</v>
      </c>
      <c r="B31" s="12" t="s">
        <v>19</v>
      </c>
      <c r="C31" s="13" t="s">
        <v>20</v>
      </c>
      <c r="D31" s="12" t="s">
        <v>7</v>
      </c>
      <c r="E31" s="12" t="s">
        <v>122</v>
      </c>
      <c r="F31" s="7">
        <v>1</v>
      </c>
    </row>
    <row r="32" spans="1:6" ht="25.5" x14ac:dyDescent="0.25">
      <c r="A32" s="11">
        <f t="shared" si="0"/>
        <v>27</v>
      </c>
      <c r="B32" s="12" t="s">
        <v>23</v>
      </c>
      <c r="C32" s="13" t="s">
        <v>24</v>
      </c>
      <c r="D32" s="12" t="s">
        <v>7</v>
      </c>
      <c r="E32" s="12" t="s">
        <v>122</v>
      </c>
      <c r="F32" s="7">
        <v>1</v>
      </c>
    </row>
    <row r="33" spans="1:6" x14ac:dyDescent="0.25">
      <c r="A33" s="11">
        <f t="shared" si="0"/>
        <v>28</v>
      </c>
      <c r="B33" s="12" t="s">
        <v>21</v>
      </c>
      <c r="C33" s="13" t="s">
        <v>22</v>
      </c>
      <c r="D33" s="12" t="s">
        <v>7</v>
      </c>
      <c r="E33" s="12" t="s">
        <v>122</v>
      </c>
      <c r="F33" s="7">
        <v>1</v>
      </c>
    </row>
    <row r="34" spans="1:6" ht="38.25" x14ac:dyDescent="0.25">
      <c r="A34" s="11">
        <f t="shared" si="0"/>
        <v>29</v>
      </c>
      <c r="B34" s="12" t="s">
        <v>96</v>
      </c>
      <c r="C34" s="13" t="s">
        <v>97</v>
      </c>
      <c r="D34" s="12" t="s">
        <v>95</v>
      </c>
      <c r="E34" s="12" t="s">
        <v>122</v>
      </c>
      <c r="F34" s="7">
        <v>1</v>
      </c>
    </row>
    <row r="35" spans="1:6" ht="25.5" x14ac:dyDescent="0.25">
      <c r="A35" s="11">
        <f t="shared" si="0"/>
        <v>30</v>
      </c>
      <c r="B35" s="12" t="s">
        <v>82</v>
      </c>
      <c r="C35" s="13" t="s">
        <v>83</v>
      </c>
      <c r="D35" s="12" t="s">
        <v>14</v>
      </c>
      <c r="E35" s="12" t="s">
        <v>6</v>
      </c>
      <c r="F35" s="7">
        <v>2</v>
      </c>
    </row>
    <row r="36" spans="1:6" ht="25.5" x14ac:dyDescent="0.25">
      <c r="A36" s="11">
        <f t="shared" si="0"/>
        <v>31</v>
      </c>
      <c r="B36" s="12" t="s">
        <v>35</v>
      </c>
      <c r="C36" s="13" t="s">
        <v>36</v>
      </c>
      <c r="D36" s="12" t="s">
        <v>37</v>
      </c>
      <c r="E36" s="12" t="s">
        <v>8</v>
      </c>
      <c r="F36" s="7">
        <v>1</v>
      </c>
    </row>
    <row r="37" spans="1:6" ht="25.5" x14ac:dyDescent="0.25">
      <c r="A37" s="11">
        <f t="shared" si="0"/>
        <v>32</v>
      </c>
      <c r="B37" s="12" t="s">
        <v>38</v>
      </c>
      <c r="C37" s="13" t="s">
        <v>39</v>
      </c>
      <c r="D37" s="12" t="s">
        <v>37</v>
      </c>
      <c r="E37" s="12" t="s">
        <v>8</v>
      </c>
      <c r="F37" s="7">
        <v>1</v>
      </c>
    </row>
    <row r="38" spans="1:6" x14ac:dyDescent="0.25">
      <c r="A38" s="11">
        <f t="shared" si="0"/>
        <v>33</v>
      </c>
      <c r="B38" s="12" t="s">
        <v>89</v>
      </c>
      <c r="C38" s="13" t="s">
        <v>90</v>
      </c>
      <c r="D38" s="12" t="s">
        <v>11</v>
      </c>
      <c r="E38" s="12" t="s">
        <v>6</v>
      </c>
      <c r="F38" s="7">
        <v>1</v>
      </c>
    </row>
    <row r="39" spans="1:6" x14ac:dyDescent="0.25">
      <c r="A39" s="11">
        <f t="shared" si="0"/>
        <v>34</v>
      </c>
      <c r="B39" s="12" t="s">
        <v>84</v>
      </c>
      <c r="C39" s="13" t="s">
        <v>85</v>
      </c>
      <c r="D39" s="12" t="s">
        <v>86</v>
      </c>
      <c r="E39" s="12" t="s">
        <v>6</v>
      </c>
      <c r="F39" s="7">
        <v>1</v>
      </c>
    </row>
    <row r="40" spans="1:6" ht="25.5" x14ac:dyDescent="0.25">
      <c r="A40" s="11">
        <f t="shared" si="0"/>
        <v>35</v>
      </c>
      <c r="B40" s="12" t="s">
        <v>102</v>
      </c>
      <c r="C40" s="13" t="s">
        <v>103</v>
      </c>
      <c r="D40" s="12" t="s">
        <v>37</v>
      </c>
      <c r="E40" s="12" t="s">
        <v>6</v>
      </c>
      <c r="F40" s="7">
        <v>1</v>
      </c>
    </row>
    <row r="41" spans="1:6" x14ac:dyDescent="0.25">
      <c r="A41" s="11">
        <f t="shared" si="0"/>
        <v>36</v>
      </c>
      <c r="B41" s="12" t="s">
        <v>100</v>
      </c>
      <c r="C41" s="13" t="s">
        <v>101</v>
      </c>
      <c r="D41" s="12" t="s">
        <v>37</v>
      </c>
      <c r="E41" s="12" t="s">
        <v>6</v>
      </c>
      <c r="F41" s="7">
        <v>1</v>
      </c>
    </row>
    <row r="42" spans="1:6" x14ac:dyDescent="0.25">
      <c r="A42" s="11">
        <f t="shared" si="0"/>
        <v>37</v>
      </c>
      <c r="B42" s="12" t="s">
        <v>52</v>
      </c>
      <c r="C42" s="13" t="s">
        <v>53</v>
      </c>
      <c r="D42" s="12" t="s">
        <v>7</v>
      </c>
      <c r="E42" s="12" t="s">
        <v>8</v>
      </c>
      <c r="F42" s="7">
        <v>1</v>
      </c>
    </row>
    <row r="43" spans="1:6" ht="25.5" x14ac:dyDescent="0.25">
      <c r="A43" s="11">
        <f t="shared" si="0"/>
        <v>38</v>
      </c>
      <c r="B43" s="12" t="s">
        <v>48</v>
      </c>
      <c r="C43" s="13" t="s">
        <v>49</v>
      </c>
      <c r="D43" s="12" t="s">
        <v>37</v>
      </c>
      <c r="E43" s="12" t="s">
        <v>6</v>
      </c>
      <c r="F43" s="7">
        <v>1</v>
      </c>
    </row>
    <row r="44" spans="1:6" ht="25.5" x14ac:dyDescent="0.25">
      <c r="A44" s="11">
        <f t="shared" si="0"/>
        <v>39</v>
      </c>
      <c r="B44" s="12" t="s">
        <v>40</v>
      </c>
      <c r="C44" s="13" t="s">
        <v>41</v>
      </c>
      <c r="D44" s="12" t="s">
        <v>37</v>
      </c>
      <c r="E44" s="12" t="s">
        <v>8</v>
      </c>
      <c r="F44" s="7">
        <v>1</v>
      </c>
    </row>
    <row r="45" spans="1:6" ht="25.5" x14ac:dyDescent="0.25">
      <c r="A45" s="11">
        <f t="shared" si="0"/>
        <v>40</v>
      </c>
      <c r="B45" s="12" t="s">
        <v>42</v>
      </c>
      <c r="C45" s="13" t="s">
        <v>43</v>
      </c>
      <c r="D45" s="12" t="s">
        <v>37</v>
      </c>
      <c r="E45" s="12" t="s">
        <v>8</v>
      </c>
      <c r="F45" s="7">
        <v>1</v>
      </c>
    </row>
    <row r="46" spans="1:6" ht="25.5" x14ac:dyDescent="0.25">
      <c r="A46" s="11">
        <f t="shared" si="0"/>
        <v>41</v>
      </c>
      <c r="B46" s="12" t="s">
        <v>50</v>
      </c>
      <c r="C46" s="13" t="s">
        <v>51</v>
      </c>
      <c r="D46" s="12" t="s">
        <v>37</v>
      </c>
      <c r="E46" s="12" t="s">
        <v>6</v>
      </c>
      <c r="F46" s="7">
        <v>1</v>
      </c>
    </row>
    <row r="47" spans="1:6" ht="25.5" x14ac:dyDescent="0.25">
      <c r="A47" s="11">
        <f t="shared" si="0"/>
        <v>42</v>
      </c>
      <c r="B47" s="12" t="s">
        <v>70</v>
      </c>
      <c r="C47" s="13" t="s">
        <v>71</v>
      </c>
      <c r="D47" s="12" t="s">
        <v>37</v>
      </c>
      <c r="E47" s="12" t="s">
        <v>8</v>
      </c>
      <c r="F47" s="7">
        <v>1</v>
      </c>
    </row>
    <row r="48" spans="1:6" ht="25.5" x14ac:dyDescent="0.25">
      <c r="A48" s="11">
        <f t="shared" si="0"/>
        <v>43</v>
      </c>
      <c r="B48" s="12" t="s">
        <v>68</v>
      </c>
      <c r="C48" s="13" t="s">
        <v>69</v>
      </c>
      <c r="D48" s="12" t="s">
        <v>37</v>
      </c>
      <c r="E48" s="12" t="s">
        <v>8</v>
      </c>
      <c r="F48" s="7">
        <v>1</v>
      </c>
    </row>
    <row r="49" spans="1:6" ht="25.5" x14ac:dyDescent="0.25">
      <c r="A49" s="11">
        <f t="shared" si="0"/>
        <v>44</v>
      </c>
      <c r="B49" s="12" t="s">
        <v>72</v>
      </c>
      <c r="C49" s="13" t="s">
        <v>73</v>
      </c>
      <c r="D49" s="12" t="s">
        <v>37</v>
      </c>
      <c r="E49" s="12" t="s">
        <v>8</v>
      </c>
      <c r="F49" s="7">
        <v>1</v>
      </c>
    </row>
    <row r="50" spans="1:6" ht="25.5" x14ac:dyDescent="0.25">
      <c r="A50" s="11">
        <f t="shared" si="0"/>
        <v>45</v>
      </c>
      <c r="B50" s="12" t="s">
        <v>54</v>
      </c>
      <c r="C50" s="13" t="s">
        <v>55</v>
      </c>
      <c r="D50" s="12" t="s">
        <v>37</v>
      </c>
      <c r="E50" s="12" t="s">
        <v>8</v>
      </c>
      <c r="F50" s="7">
        <v>1</v>
      </c>
    </row>
    <row r="51" spans="1:6" ht="25.5" x14ac:dyDescent="0.25">
      <c r="A51" s="11">
        <f t="shared" si="0"/>
        <v>46</v>
      </c>
      <c r="B51" s="12" t="s">
        <v>56</v>
      </c>
      <c r="C51" s="13" t="s">
        <v>57</v>
      </c>
      <c r="D51" s="12" t="s">
        <v>37</v>
      </c>
      <c r="E51" s="12" t="s">
        <v>8</v>
      </c>
      <c r="F51" s="7">
        <v>1</v>
      </c>
    </row>
    <row r="52" spans="1:6" ht="25.5" x14ac:dyDescent="0.25">
      <c r="A52" s="11">
        <f t="shared" si="0"/>
        <v>47</v>
      </c>
      <c r="B52" s="12" t="s">
        <v>60</v>
      </c>
      <c r="C52" s="13" t="s">
        <v>61</v>
      </c>
      <c r="D52" s="12" t="s">
        <v>37</v>
      </c>
      <c r="E52" s="12" t="s">
        <v>8</v>
      </c>
      <c r="F52" s="7">
        <v>1</v>
      </c>
    </row>
    <row r="53" spans="1:6" ht="25.5" x14ac:dyDescent="0.25">
      <c r="A53" s="11">
        <f t="shared" si="0"/>
        <v>48</v>
      </c>
      <c r="B53" s="12" t="s">
        <v>58</v>
      </c>
      <c r="C53" s="13" t="s">
        <v>59</v>
      </c>
      <c r="D53" s="12" t="s">
        <v>37</v>
      </c>
      <c r="E53" s="12" t="s">
        <v>8</v>
      </c>
      <c r="F53" s="7">
        <v>1</v>
      </c>
    </row>
    <row r="54" spans="1:6" ht="25.5" x14ac:dyDescent="0.25">
      <c r="A54" s="11">
        <f t="shared" si="0"/>
        <v>49</v>
      </c>
      <c r="B54" s="12" t="s">
        <v>66</v>
      </c>
      <c r="C54" s="13" t="s">
        <v>67</v>
      </c>
      <c r="D54" s="12" t="s">
        <v>37</v>
      </c>
      <c r="E54" s="12" t="s">
        <v>8</v>
      </c>
      <c r="F54" s="7">
        <v>1</v>
      </c>
    </row>
    <row r="55" spans="1:6" ht="25.5" x14ac:dyDescent="0.25">
      <c r="A55" s="11">
        <f t="shared" si="0"/>
        <v>50</v>
      </c>
      <c r="B55" s="12" t="s">
        <v>64</v>
      </c>
      <c r="C55" s="13" t="s">
        <v>65</v>
      </c>
      <c r="D55" s="12" t="s">
        <v>37</v>
      </c>
      <c r="E55" s="12" t="s">
        <v>8</v>
      </c>
      <c r="F55" s="7">
        <v>1</v>
      </c>
    </row>
    <row r="56" spans="1:6" ht="25.5" x14ac:dyDescent="0.25">
      <c r="A56" s="11">
        <f t="shared" si="0"/>
        <v>51</v>
      </c>
      <c r="B56" s="12" t="s">
        <v>62</v>
      </c>
      <c r="C56" s="13" t="s">
        <v>63</v>
      </c>
      <c r="D56" s="12" t="s">
        <v>37</v>
      </c>
      <c r="E56" s="12" t="s">
        <v>8</v>
      </c>
      <c r="F56" s="7">
        <v>1</v>
      </c>
    </row>
    <row r="57" spans="1:6" ht="38.25" x14ac:dyDescent="0.25">
      <c r="A57" s="11">
        <f t="shared" si="0"/>
        <v>52</v>
      </c>
      <c r="B57" s="12" t="s">
        <v>44</v>
      </c>
      <c r="C57" s="13" t="s">
        <v>45</v>
      </c>
      <c r="D57" s="12" t="s">
        <v>37</v>
      </c>
      <c r="E57" s="12" t="s">
        <v>6</v>
      </c>
      <c r="F57" s="7">
        <v>1</v>
      </c>
    </row>
    <row r="58" spans="1:6" ht="25.5" x14ac:dyDescent="0.25">
      <c r="A58" s="11">
        <f t="shared" si="0"/>
        <v>53</v>
      </c>
      <c r="B58" s="12" t="s">
        <v>74</v>
      </c>
      <c r="C58" s="13" t="s">
        <v>75</v>
      </c>
      <c r="D58" s="12" t="s">
        <v>37</v>
      </c>
      <c r="E58" s="12" t="s">
        <v>6</v>
      </c>
      <c r="F58" s="7">
        <v>1</v>
      </c>
    </row>
    <row r="59" spans="1:6" ht="15" customHeight="1" x14ac:dyDescent="0.25">
      <c r="A59" s="18"/>
      <c r="B59" s="19"/>
      <c r="C59" s="20" t="s">
        <v>104</v>
      </c>
      <c r="D59" s="20"/>
      <c r="E59" s="20"/>
      <c r="F59" s="8">
        <f>SUBTOTAL(9,F6:F58)</f>
        <v>58</v>
      </c>
    </row>
    <row r="60" spans="1:6" ht="20.25" customHeight="1" x14ac:dyDescent="0.25">
      <c r="A60" s="14"/>
      <c r="B60" s="14"/>
      <c r="C60" s="15"/>
    </row>
    <row r="61" spans="1:6" ht="14.25" customHeight="1" x14ac:dyDescent="0.25">
      <c r="A61" s="16"/>
      <c r="B61" s="16"/>
      <c r="C61" s="16"/>
    </row>
    <row r="62" spans="1:6" ht="21.75" customHeight="1" x14ac:dyDescent="0.25">
      <c r="A62" s="15"/>
      <c r="B62" s="15"/>
      <c r="C62" s="15"/>
    </row>
  </sheetData>
  <sortState xmlns:xlrd2="http://schemas.microsoft.com/office/spreadsheetml/2017/richdata2" ref="B6:F58">
    <sortCondition ref="C6:C58"/>
  </sortState>
  <mergeCells count="2">
    <mergeCell ref="A59:B59"/>
    <mergeCell ref="C59:E59"/>
  </mergeCells>
  <printOptions horizontalCentered="1"/>
  <pageMargins left="0" right="0" top="0.58999997377395597" bottom="0.58999997377395597" header="0.5" footer="0.5"/>
  <pageSetup paperSize="8" orientation="landscape"/>
  <ignoredErrors>
    <ignoredError sqref="A59:E63 A1:E5 F59:F63 F1:F5 G8 G12:G13 G46:G47 G9 G10:G11 G59:G63 G1:G5 G48:G49 G14:G45 G6:G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 D1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tổng hợp tài sản</dc:title>
  <dc:subject>Bảng tổng hợp tài sản</dc:subject>
  <dc:creator>Bravo 8 4.7.0.1</dc:creator>
  <cp:keywords/>
  <dc:description/>
  <cp:lastModifiedBy>Bùi Khắc Nghĩa</cp:lastModifiedBy>
  <cp:lastPrinted>2025-12-05T06:58:24Z</cp:lastPrinted>
  <dcterms:modified xsi:type="dcterms:W3CDTF">2025-12-09T08:43:31Z</dcterms:modified>
  <cp:category/>
</cp:coreProperties>
</file>